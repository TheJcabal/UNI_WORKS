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<sst xmlns="http://schemas.openxmlformats.org/spreadsheetml/2006/main" count="29" uniqueCount="22">
  <si>
    <t>Apps Descargadas</t>
  </si>
  <si>
    <t>Intervalo</t>
  </si>
  <si>
    <t>LÍMITE INFERIOR</t>
  </si>
  <si>
    <t>LÍMITE SUPERIOR</t>
  </si>
  <si>
    <t>PUNTO MEDIO (MARCA DE CLASES)</t>
  </si>
  <si>
    <t>FRECUENCIA ABSOLUTA</t>
  </si>
  <si>
    <t>FRECUENCIA RELATIVA</t>
  </si>
  <si>
    <t>FRECUENCIA ACOMULADA</t>
  </si>
  <si>
    <t>FRECUENCIA RELATIVA ACUMULADA</t>
  </si>
  <si>
    <t>[30-45)</t>
  </si>
  <si>
    <t>[45-60)</t>
  </si>
  <si>
    <t>[60-75)</t>
  </si>
  <si>
    <t>[75-90)</t>
  </si>
  <si>
    <t>[90-105)</t>
  </si>
  <si>
    <t>[105-120)</t>
  </si>
  <si>
    <t>[120-135]</t>
  </si>
  <si>
    <t>LEN DATOS</t>
  </si>
  <si>
    <t>DATO MINIMO</t>
  </si>
  <si>
    <t>DATO MAXIMO</t>
  </si>
  <si>
    <t>RANGO</t>
  </si>
  <si>
    <t>NÚMERO DE CLASE</t>
  </si>
  <si>
    <t>AMPLITUD DE CLASE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</si>
</sst>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b/>
      <sz val="8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rgb="FFFF0000"/>
      <name val="Arial"/>
    </font>
    <font>
      <b/>
      <sz val="10.0"/>
      <color rgb="FF00FF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1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0" xfId="0" applyAlignment="1" applyFont="1" applyNumberFormat="1">
      <alignment horizontal="center" shrinkToFit="0" vertical="center" wrapText="1"/>
    </xf>
    <xf borderId="0" fillId="2" fontId="4" numFmtId="0" xfId="0" applyAlignment="1" applyFill="1" applyFont="1">
      <alignment horizontal="center" readingOrder="0"/>
    </xf>
    <xf borderId="0" fillId="0" fontId="5" numFmtId="1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0" fillId="0" fontId="6" numFmtId="10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1" numFmtId="10" xfId="0" applyFont="1" applyNumberFormat="1"/>
    <xf borderId="0" fillId="0" fontId="6" numFmtId="2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2" numFmtId="0" xfId="0" applyFont="1"/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POLÍGONO PUNTO MEDIO (MARCA DE CLASES) y FRECUENCIA ABSOLUTA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1'!$I$2:$I$8</c:f>
            </c:strRef>
          </c:cat>
          <c:val>
            <c:numRef>
              <c:f>'Hoja 1'!$J$2:$J$8</c:f>
              <c:numCache/>
            </c:numRef>
          </c:val>
          <c:smooth val="0"/>
        </c:ser>
        <c:axId val="1054394829"/>
        <c:axId val="1817596529"/>
      </c:lineChart>
      <c:catAx>
        <c:axId val="1054394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Marcas de Clase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7596529"/>
      </c:catAx>
      <c:valAx>
        <c:axId val="1817596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Frecuencia Absoluta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54394829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Ojiva de Frecuencias Acumuladas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'Hoja 1'!$I$2:$I$8</c:f>
              <c:numCache/>
            </c:numRef>
          </c:val>
          <c:smooth val="0"/>
        </c:ser>
        <c:ser>
          <c:idx val="1"/>
          <c:order val="1"/>
          <c:tx>
            <c:strRef>
              <c:f>'Hoja 1'!$L$1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'Hoja 1'!$L$2:$L$8</c:f>
              <c:numCache/>
            </c:numRef>
          </c:val>
          <c:smooth val="0"/>
        </c:ser>
        <c:axId val="1140350048"/>
        <c:axId val="2065111708"/>
      </c:lineChart>
      <c:catAx>
        <c:axId val="114035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Límites Superiores de Clase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65111708"/>
      </c:catAx>
      <c:valAx>
        <c:axId val="2065111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Frecuencia Relativa Acumulada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403500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Histograma de Frecuencias – Apps Descargadas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1'!$E$2:$E$8</c:f>
            </c:strRef>
          </c:cat>
          <c:val>
            <c:numRef>
              <c:f>'Hoja 1'!$J$2:$J$8</c:f>
              <c:numCache/>
            </c:numRef>
          </c:val>
        </c:ser>
        <c:axId val="684284101"/>
        <c:axId val="1242013349"/>
      </c:barChart>
      <c:catAx>
        <c:axId val="684284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Intervalos de Apps Descargadas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013349"/>
      </c:catAx>
      <c:valAx>
        <c:axId val="1242013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Frecuencia Absoluta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284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37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352425</xdr:colOff>
      <xdr:row>37</xdr:row>
      <xdr:rowOff>180975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104775</xdr:colOff>
      <xdr:row>16</xdr:row>
      <xdr:rowOff>85725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1:E56" displayName="Table_1" name="Table_1" id="1">
  <tableColumns count="2">
    <tableColumn name="Apps Descargadas" id="1"/>
    <tableColumn name="Intervalo" id="2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1:M10" displayName="Table_2" name="Table_2" id="2">
  <tableColumns count="7">
    <tableColumn name="LÍMITE INFERIOR" id="1"/>
    <tableColumn name="LÍMITE SUPERIOR" id="2"/>
    <tableColumn name="PUNTO MEDIO (MARCA DE CLASES)" id="3"/>
    <tableColumn name="FRECUENCIA ABSOLUTA" id="4"/>
    <tableColumn name="FRECUENCIA RELATIVA" id="5"/>
    <tableColumn name="FRECUENCIA ACOMULADA" id="6"/>
    <tableColumn name="FRECUENCIA RELATIVA ACUMULADA" id="7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63"/>
    <col customWidth="1" min="4" max="4" width="24.88"/>
    <col customWidth="1" min="5" max="6" width="12.63"/>
    <col customWidth="1" min="7" max="7" width="19.13"/>
    <col customWidth="1" min="8" max="8" width="19.63"/>
    <col customWidth="1" min="9" max="9" width="17.38"/>
    <col customWidth="1" min="10" max="10" width="23.13"/>
    <col customWidth="1" min="11" max="11" width="25.13"/>
    <col customWidth="1" min="12" max="12" width="21.75"/>
    <col customWidth="1" min="13" max="13" width="16.75"/>
  </cols>
  <sheetData>
    <row r="1">
      <c r="D1" s="1" t="s">
        <v>0</v>
      </c>
      <c r="E1" s="2" t="s">
        <v>1</v>
      </c>
      <c r="G1" s="3" t="s">
        <v>2</v>
      </c>
      <c r="H1" s="3" t="s">
        <v>3</v>
      </c>
      <c r="I1" s="4" t="s">
        <v>4</v>
      </c>
      <c r="J1" s="4" t="s">
        <v>5</v>
      </c>
      <c r="K1" s="5" t="s">
        <v>6</v>
      </c>
      <c r="L1" s="4" t="s">
        <v>7</v>
      </c>
      <c r="M1" s="4" t="s">
        <v>8</v>
      </c>
      <c r="O1" s="6"/>
    </row>
    <row r="2">
      <c r="D2" s="1">
        <v>75.0</v>
      </c>
      <c r="E2" s="2" t="s">
        <v>9</v>
      </c>
      <c r="G2" s="7">
        <f>D3</f>
        <v>30</v>
      </c>
      <c r="H2" s="7">
        <f>D7</f>
        <v>45</v>
      </c>
      <c r="I2" s="8">
        <f t="shared" ref="I2:I8" si="2">(G2+H2)/2</f>
        <v>37.5</v>
      </c>
      <c r="J2" s="8">
        <f t="shared" ref="J2:J8" si="3">COUNTIFS(D:D,"&gt;="&amp;G2,D:D, "&lt;"&amp;H2)</f>
        <v>7</v>
      </c>
      <c r="K2" s="9" t="str">
        <f t="shared" ref="K2:K8" si="4">(J2/$J$9)</f>
        <v>#VALUE!</v>
      </c>
      <c r="L2" s="8">
        <f t="shared" ref="L2:M2" si="1">J2</f>
        <v>7</v>
      </c>
      <c r="M2" s="10" t="str">
        <f t="shared" si="1"/>
        <v>#VALUE!</v>
      </c>
    </row>
    <row r="3">
      <c r="D3" s="1">
        <v>30.0</v>
      </c>
      <c r="E3" s="2" t="s">
        <v>10</v>
      </c>
      <c r="G3" s="7">
        <f t="shared" ref="G3:G7" si="5">H2</f>
        <v>45</v>
      </c>
      <c r="H3" s="7">
        <f>D5</f>
        <v>60</v>
      </c>
      <c r="I3" s="8">
        <f t="shared" si="2"/>
        <v>52.5</v>
      </c>
      <c r="J3" s="8">
        <f t="shared" si="3"/>
        <v>6</v>
      </c>
      <c r="K3" s="9" t="str">
        <f t="shared" si="4"/>
        <v>#VALUE!</v>
      </c>
      <c r="L3" s="8">
        <f t="shared" ref="L3:L8" si="6">(L2 + J3)</f>
        <v>13</v>
      </c>
      <c r="M3" s="10" t="str">
        <f t="shared" ref="M3:M8" si="7">M2 +K3</f>
        <v>#VALUE!</v>
      </c>
    </row>
    <row r="4">
      <c r="D4" s="1">
        <v>120.0</v>
      </c>
      <c r="E4" s="2" t="s">
        <v>11</v>
      </c>
      <c r="G4" s="7">
        <f t="shared" si="5"/>
        <v>60</v>
      </c>
      <c r="H4" s="7">
        <f>D2</f>
        <v>75</v>
      </c>
      <c r="I4" s="8">
        <f t="shared" si="2"/>
        <v>67.5</v>
      </c>
      <c r="J4" s="8">
        <f t="shared" si="3"/>
        <v>10</v>
      </c>
      <c r="K4" s="9" t="str">
        <f t="shared" si="4"/>
        <v>#VALUE!</v>
      </c>
      <c r="L4" s="8">
        <f t="shared" si="6"/>
        <v>23</v>
      </c>
      <c r="M4" s="10" t="str">
        <f t="shared" si="7"/>
        <v>#VALUE!</v>
      </c>
    </row>
    <row r="5">
      <c r="D5" s="1">
        <v>60.0</v>
      </c>
      <c r="E5" s="2" t="s">
        <v>12</v>
      </c>
      <c r="G5" s="7">
        <f t="shared" si="5"/>
        <v>75</v>
      </c>
      <c r="H5" s="7">
        <f>D8</f>
        <v>90</v>
      </c>
      <c r="I5" s="8">
        <f t="shared" si="2"/>
        <v>82.5</v>
      </c>
      <c r="J5" s="8">
        <f t="shared" si="3"/>
        <v>9</v>
      </c>
      <c r="K5" s="9" t="str">
        <f t="shared" si="4"/>
        <v>#VALUE!</v>
      </c>
      <c r="L5" s="8">
        <f t="shared" si="6"/>
        <v>32</v>
      </c>
      <c r="M5" s="10" t="str">
        <f t="shared" si="7"/>
        <v>#VALUE!</v>
      </c>
    </row>
    <row r="6">
      <c r="D6" s="1">
        <v>85.0</v>
      </c>
      <c r="E6" s="2" t="s">
        <v>13</v>
      </c>
      <c r="G6" s="7">
        <f t="shared" si="5"/>
        <v>90</v>
      </c>
      <c r="H6" s="7">
        <f>D20</f>
        <v>105</v>
      </c>
      <c r="I6" s="8">
        <f t="shared" si="2"/>
        <v>97.5</v>
      </c>
      <c r="J6" s="8">
        <f t="shared" si="3"/>
        <v>8</v>
      </c>
      <c r="K6" s="9" t="str">
        <f t="shared" si="4"/>
        <v>#VALUE!</v>
      </c>
      <c r="L6" s="8">
        <f t="shared" si="6"/>
        <v>40</v>
      </c>
      <c r="M6" s="10" t="str">
        <f t="shared" si="7"/>
        <v>#VALUE!</v>
      </c>
    </row>
    <row r="7">
      <c r="D7" s="1">
        <v>45.0</v>
      </c>
      <c r="E7" s="2" t="s">
        <v>14</v>
      </c>
      <c r="G7" s="7">
        <f t="shared" si="5"/>
        <v>105</v>
      </c>
      <c r="H7" s="7">
        <f>D4</f>
        <v>120</v>
      </c>
      <c r="I7" s="8">
        <f t="shared" si="2"/>
        <v>112.5</v>
      </c>
      <c r="J7" s="8">
        <f t="shared" si="3"/>
        <v>5</v>
      </c>
      <c r="K7" s="9" t="str">
        <f t="shared" si="4"/>
        <v>#VALUE!</v>
      </c>
      <c r="L7" s="8">
        <f t="shared" si="6"/>
        <v>45</v>
      </c>
      <c r="M7" s="10" t="str">
        <f t="shared" si="7"/>
        <v>#VALUE!</v>
      </c>
    </row>
    <row r="8">
      <c r="D8" s="1">
        <v>90.0</v>
      </c>
      <c r="E8" s="2" t="s">
        <v>15</v>
      </c>
      <c r="G8" s="7">
        <f>D4</f>
        <v>120</v>
      </c>
      <c r="H8" s="7">
        <f>135</f>
        <v>135</v>
      </c>
      <c r="I8" s="8">
        <f t="shared" si="2"/>
        <v>127.5</v>
      </c>
      <c r="J8" s="8">
        <f t="shared" si="3"/>
        <v>5</v>
      </c>
      <c r="K8" s="9" t="str">
        <f t="shared" si="4"/>
        <v>#VALUE!</v>
      </c>
      <c r="L8" s="8">
        <f t="shared" si="6"/>
        <v>50</v>
      </c>
      <c r="M8" s="10" t="str">
        <f t="shared" si="7"/>
        <v>#VALUE!</v>
      </c>
    </row>
    <row r="9">
      <c r="D9" s="1">
        <v>70.0</v>
      </c>
      <c r="E9" s="11"/>
      <c r="G9" s="3" t="s">
        <v>2</v>
      </c>
      <c r="H9" s="3" t="s">
        <v>3</v>
      </c>
      <c r="I9" s="4" t="s">
        <v>4</v>
      </c>
      <c r="J9" s="4" t="s">
        <v>5</v>
      </c>
      <c r="K9" s="5" t="s">
        <v>6</v>
      </c>
      <c r="L9" s="4" t="s">
        <v>7</v>
      </c>
      <c r="M9" s="4" t="s">
        <v>8</v>
      </c>
    </row>
    <row r="10">
      <c r="D10" s="1">
        <v>100.0</v>
      </c>
      <c r="E10" s="11"/>
      <c r="G10" s="12" t="s">
        <v>16</v>
      </c>
      <c r="H10" s="13">
        <f> COUNT(D:D)</f>
        <v>50</v>
      </c>
      <c r="I10" s="8"/>
      <c r="J10" s="9"/>
      <c r="K10" s="9"/>
      <c r="L10" s="8"/>
      <c r="M10" s="14"/>
    </row>
    <row r="11">
      <c r="D11" s="1">
        <v>50.0</v>
      </c>
      <c r="E11" s="11"/>
      <c r="G11" s="15" t="s">
        <v>17</v>
      </c>
      <c r="H11" s="16">
        <f>MIN(D:D)</f>
        <v>30</v>
      </c>
      <c r="I11" s="8"/>
      <c r="J11" s="17"/>
    </row>
    <row r="12">
      <c r="D12" s="1">
        <v>110.0</v>
      </c>
      <c r="E12" s="11"/>
      <c r="G12" s="15" t="s">
        <v>18</v>
      </c>
      <c r="H12" s="16">
        <f>MAX(D:D)</f>
        <v>132</v>
      </c>
      <c r="I12" s="8"/>
      <c r="J12" s="17"/>
    </row>
    <row r="13">
      <c r="D13" s="1">
        <v>65.0</v>
      </c>
      <c r="E13" s="11"/>
      <c r="G13" s="15" t="s">
        <v>19</v>
      </c>
      <c r="H13" s="16">
        <f>H12-H11</f>
        <v>102</v>
      </c>
      <c r="I13" s="8"/>
      <c r="J13" s="17"/>
    </row>
    <row r="14">
      <c r="D14" s="1">
        <v>80.0</v>
      </c>
      <c r="E14" s="11"/>
      <c r="G14" s="15" t="s">
        <v>20</v>
      </c>
      <c r="H14" s="16">
        <f>ROUNDUP(1 + 3.322 * LOG10(H10), 0)</f>
        <v>7</v>
      </c>
      <c r="I14" s="8"/>
      <c r="J14" s="17"/>
    </row>
    <row r="15">
      <c r="D15" s="1">
        <v>35.0</v>
      </c>
      <c r="E15" s="11"/>
      <c r="G15" s="15" t="s">
        <v>21</v>
      </c>
      <c r="H15" s="18">
        <f>H13/H14</f>
        <v>14.57142857</v>
      </c>
      <c r="I15" s="19"/>
      <c r="J15" s="17"/>
    </row>
    <row r="16">
      <c r="D16" s="1">
        <v>95.0</v>
      </c>
      <c r="E16" s="11"/>
      <c r="J16" s="17"/>
    </row>
    <row r="17">
      <c r="D17" s="1">
        <v>70.0</v>
      </c>
      <c r="E17" s="11"/>
      <c r="J17" s="17"/>
    </row>
    <row r="18">
      <c r="D18" s="1">
        <v>40.0</v>
      </c>
      <c r="E18" s="11"/>
      <c r="J18" s="17"/>
    </row>
    <row r="19">
      <c r="D19" s="1">
        <v>130.0</v>
      </c>
      <c r="E19" s="11"/>
      <c r="J19" s="17"/>
    </row>
    <row r="20">
      <c r="D20" s="1">
        <v>105.0</v>
      </c>
      <c r="E20" s="11"/>
      <c r="J20" s="17"/>
    </row>
    <row r="21" ht="15.75" customHeight="1">
      <c r="D21" s="1">
        <v>80.0</v>
      </c>
      <c r="E21" s="11"/>
      <c r="J21" s="17"/>
    </row>
    <row r="22" ht="15.75" customHeight="1">
      <c r="D22" s="1">
        <v>72.0</v>
      </c>
      <c r="E22" s="11"/>
      <c r="J22" s="17"/>
    </row>
    <row r="23" ht="15.75" customHeight="1">
      <c r="D23" s="1">
        <v>33.0</v>
      </c>
      <c r="E23" s="11"/>
      <c r="J23" s="17"/>
    </row>
    <row r="24" ht="15.75" customHeight="1">
      <c r="D24" s="1">
        <v>125.0</v>
      </c>
      <c r="E24" s="11"/>
      <c r="J24" s="17"/>
    </row>
    <row r="25" ht="15.75" customHeight="1">
      <c r="D25" s="1">
        <v>63.0</v>
      </c>
      <c r="E25" s="11"/>
      <c r="J25" s="17"/>
    </row>
    <row r="26" ht="15.75" customHeight="1">
      <c r="D26" s="1">
        <v>88.0</v>
      </c>
      <c r="E26" s="11"/>
      <c r="J26" s="17"/>
    </row>
    <row r="27" ht="15.75" customHeight="1">
      <c r="D27" s="1">
        <v>48.0</v>
      </c>
      <c r="E27" s="11"/>
      <c r="J27" s="17"/>
    </row>
    <row r="28" ht="15.75" customHeight="1">
      <c r="D28" s="1">
        <v>92.0</v>
      </c>
      <c r="E28" s="11"/>
      <c r="J28" s="17"/>
    </row>
    <row r="29" ht="15.75" customHeight="1">
      <c r="D29" s="1">
        <v>73.0</v>
      </c>
      <c r="E29" s="11"/>
      <c r="J29" s="17"/>
    </row>
    <row r="30" ht="15.75" customHeight="1">
      <c r="D30" s="1">
        <v>103.0</v>
      </c>
      <c r="E30" s="11"/>
      <c r="J30" s="17"/>
    </row>
    <row r="31" ht="15.75" customHeight="1">
      <c r="D31" s="1">
        <v>52.0</v>
      </c>
      <c r="E31" s="11"/>
      <c r="J31" s="17"/>
    </row>
    <row r="32" ht="15.75" customHeight="1">
      <c r="D32" s="1">
        <v>112.0</v>
      </c>
      <c r="E32" s="11"/>
      <c r="J32" s="17"/>
    </row>
    <row r="33" ht="15.75" customHeight="1">
      <c r="D33" s="1">
        <v>68.0</v>
      </c>
      <c r="E33" s="11"/>
      <c r="J33" s="17"/>
    </row>
    <row r="34" ht="15.75" customHeight="1">
      <c r="D34" s="1">
        <v>82.0</v>
      </c>
      <c r="E34" s="11"/>
      <c r="J34" s="17"/>
    </row>
    <row r="35" ht="15.75" customHeight="1">
      <c r="D35" s="1">
        <v>38.0</v>
      </c>
      <c r="E35" s="11"/>
      <c r="J35" s="17"/>
    </row>
    <row r="36" ht="15.75" customHeight="1">
      <c r="D36" s="1">
        <v>98.0</v>
      </c>
      <c r="E36" s="11"/>
      <c r="J36" s="17"/>
    </row>
    <row r="37" ht="15.75" customHeight="1">
      <c r="D37" s="1">
        <v>71.0</v>
      </c>
      <c r="E37" s="11"/>
      <c r="J37" s="17"/>
    </row>
    <row r="38" ht="15.75" customHeight="1">
      <c r="D38" s="1">
        <v>42.0</v>
      </c>
      <c r="E38" s="11"/>
      <c r="J38" s="17"/>
    </row>
    <row r="39" ht="15.75" customHeight="1">
      <c r="D39" s="1">
        <v>132.0</v>
      </c>
      <c r="E39" s="11"/>
      <c r="J39" s="17"/>
    </row>
    <row r="40" ht="15.75" customHeight="1">
      <c r="D40" s="1">
        <v>107.0</v>
      </c>
      <c r="E40" s="11"/>
      <c r="J40" s="17"/>
    </row>
    <row r="41" ht="15.75" customHeight="1">
      <c r="D41" s="1">
        <v>83.0</v>
      </c>
      <c r="E41" s="11"/>
      <c r="J41" s="17"/>
    </row>
    <row r="42" ht="15.75" customHeight="1">
      <c r="D42" s="1">
        <v>78.0</v>
      </c>
      <c r="E42" s="11"/>
      <c r="J42" s="17"/>
    </row>
    <row r="43" ht="15.75" customHeight="1">
      <c r="D43" s="1">
        <v>36.0</v>
      </c>
      <c r="E43" s="11"/>
      <c r="J43" s="17"/>
    </row>
    <row r="44" ht="15.75" customHeight="1">
      <c r="D44" s="1">
        <v>128.0</v>
      </c>
      <c r="E44" s="11"/>
      <c r="J44" s="17"/>
    </row>
    <row r="45" ht="15.75" customHeight="1">
      <c r="D45" s="1">
        <v>65.0</v>
      </c>
      <c r="E45" s="11"/>
      <c r="J45" s="17"/>
    </row>
    <row r="46" ht="15.75" customHeight="1">
      <c r="D46" s="1">
        <v>90.0</v>
      </c>
      <c r="E46" s="11"/>
      <c r="J46" s="17"/>
    </row>
    <row r="47" ht="15.75" customHeight="1">
      <c r="D47" s="1">
        <v>47.0</v>
      </c>
      <c r="E47" s="11"/>
      <c r="J47" s="17"/>
    </row>
    <row r="48" ht="15.75" customHeight="1">
      <c r="D48" s="1">
        <v>95.0</v>
      </c>
      <c r="E48" s="11"/>
      <c r="J48" s="17"/>
    </row>
    <row r="49" ht="15.75" customHeight="1">
      <c r="D49" s="1">
        <v>75.0</v>
      </c>
      <c r="E49" s="11"/>
      <c r="J49" s="17"/>
    </row>
    <row r="50" ht="15.75" customHeight="1">
      <c r="D50" s="1">
        <v>105.0</v>
      </c>
      <c r="E50" s="11"/>
      <c r="J50" s="17"/>
    </row>
    <row r="51" ht="15.75" customHeight="1">
      <c r="D51" s="1">
        <v>55.0</v>
      </c>
      <c r="E51" s="11"/>
      <c r="J51" s="17"/>
    </row>
    <row r="52" ht="15.75" customHeight="1">
      <c r="C52" s="20"/>
      <c r="D52" s="1"/>
      <c r="E52" s="11"/>
      <c r="J52" s="17"/>
    </row>
    <row r="53" ht="15.75" customHeight="1">
      <c r="C53" s="20"/>
      <c r="D53" s="1"/>
      <c r="E53" s="11"/>
      <c r="J53" s="17"/>
    </row>
    <row r="54" ht="15.75" customHeight="1">
      <c r="C54" s="20"/>
      <c r="D54" s="1"/>
      <c r="E54" s="11"/>
      <c r="J54" s="17"/>
    </row>
    <row r="55" ht="15.75" customHeight="1">
      <c r="C55" s="20"/>
      <c r="D55" s="1"/>
      <c r="E55" s="11"/>
      <c r="J55" s="17"/>
    </row>
    <row r="56" ht="15.75" customHeight="1">
      <c r="D56" s="12"/>
      <c r="E56" s="21"/>
      <c r="J56" s="17"/>
    </row>
    <row r="57" ht="15.75" customHeight="1">
      <c r="D57" s="22"/>
      <c r="J57" s="17"/>
    </row>
    <row r="58" ht="15.75" customHeight="1">
      <c r="D58" s="22"/>
      <c r="J58" s="17"/>
    </row>
    <row r="59" ht="15.75" customHeight="1">
      <c r="D59" s="22"/>
      <c r="J59" s="17"/>
    </row>
    <row r="60" ht="15.75" customHeight="1">
      <c r="D60" s="22"/>
      <c r="J60" s="17"/>
    </row>
    <row r="61" ht="15.75" customHeight="1">
      <c r="D61" s="22"/>
      <c r="J61" s="17"/>
    </row>
    <row r="62" ht="15.75" customHeight="1">
      <c r="D62" s="22"/>
      <c r="J62" s="17"/>
    </row>
    <row r="63" ht="15.75" customHeight="1">
      <c r="D63" s="22"/>
      <c r="J63" s="17"/>
    </row>
    <row r="64" ht="15.75" customHeight="1">
      <c r="D64" s="22"/>
      <c r="J64" s="17"/>
    </row>
    <row r="65" ht="15.75" customHeight="1">
      <c r="D65" s="22"/>
      <c r="J65" s="17"/>
    </row>
    <row r="66" ht="15.75" customHeight="1">
      <c r="D66" s="22"/>
      <c r="J66" s="17"/>
    </row>
    <row r="67" ht="15.75" customHeight="1">
      <c r="D67" s="22"/>
      <c r="J67" s="17"/>
    </row>
    <row r="68" ht="15.75" customHeight="1">
      <c r="D68" s="22"/>
      <c r="J68" s="17"/>
    </row>
    <row r="69" ht="15.75" customHeight="1">
      <c r="D69" s="22"/>
      <c r="J69" s="17"/>
    </row>
    <row r="70" ht="15.75" customHeight="1">
      <c r="D70" s="22"/>
      <c r="J70" s="17"/>
    </row>
    <row r="71" ht="15.75" customHeight="1">
      <c r="D71" s="22"/>
      <c r="J71" s="17"/>
    </row>
    <row r="72" ht="15.75" customHeight="1">
      <c r="D72" s="22"/>
      <c r="J72" s="17"/>
    </row>
    <row r="73" ht="15.75" customHeight="1">
      <c r="D73" s="22"/>
      <c r="J73" s="17"/>
    </row>
    <row r="74" ht="15.75" customHeight="1">
      <c r="D74" s="22"/>
      <c r="J74" s="17"/>
    </row>
    <row r="75" ht="15.75" customHeight="1">
      <c r="D75" s="22"/>
      <c r="J75" s="17"/>
    </row>
    <row r="76" ht="15.75" customHeight="1">
      <c r="D76" s="22"/>
      <c r="J76" s="17"/>
    </row>
    <row r="77" ht="15.75" customHeight="1">
      <c r="D77" s="22"/>
      <c r="J77" s="17"/>
    </row>
    <row r="78" ht="15.75" customHeight="1">
      <c r="D78" s="22"/>
      <c r="J78" s="17"/>
    </row>
    <row r="79" ht="15.75" customHeight="1">
      <c r="D79" s="22"/>
      <c r="J79" s="17"/>
    </row>
    <row r="80" ht="15.75" customHeight="1">
      <c r="D80" s="22"/>
      <c r="J80" s="17"/>
    </row>
    <row r="81" ht="15.75" customHeight="1">
      <c r="D81" s="22"/>
      <c r="J81" s="17"/>
    </row>
    <row r="82" ht="15.75" customHeight="1">
      <c r="D82" s="22"/>
      <c r="J82" s="17"/>
    </row>
    <row r="83" ht="15.75" customHeight="1">
      <c r="D83" s="22"/>
      <c r="J83" s="17"/>
    </row>
    <row r="84" ht="15.75" customHeight="1">
      <c r="D84" s="22"/>
      <c r="J84" s="17"/>
    </row>
    <row r="85" ht="15.75" customHeight="1">
      <c r="D85" s="22"/>
      <c r="J85" s="17"/>
    </row>
    <row r="86" ht="15.75" customHeight="1">
      <c r="D86" s="22"/>
      <c r="J86" s="17"/>
    </row>
    <row r="87" ht="15.75" customHeight="1">
      <c r="D87" s="22"/>
      <c r="J87" s="17"/>
    </row>
    <row r="88" ht="15.75" customHeight="1">
      <c r="D88" s="22"/>
      <c r="J88" s="17"/>
    </row>
    <row r="89" ht="15.75" customHeight="1">
      <c r="D89" s="22"/>
      <c r="J89" s="17"/>
    </row>
    <row r="90" ht="15.75" customHeight="1">
      <c r="D90" s="22"/>
      <c r="J90" s="17"/>
    </row>
    <row r="91" ht="15.75" customHeight="1">
      <c r="D91" s="22"/>
      <c r="J91" s="17"/>
    </row>
    <row r="92" ht="15.75" customHeight="1">
      <c r="D92" s="22"/>
      <c r="J92" s="17"/>
    </row>
    <row r="93" ht="15.75" customHeight="1">
      <c r="D93" s="22"/>
      <c r="J93" s="17"/>
    </row>
    <row r="94" ht="15.75" customHeight="1">
      <c r="D94" s="22"/>
      <c r="J94" s="17"/>
    </row>
    <row r="95" ht="15.75" customHeight="1">
      <c r="D95" s="22"/>
      <c r="J95" s="17"/>
    </row>
    <row r="96" ht="15.75" customHeight="1">
      <c r="D96" s="22"/>
      <c r="J96" s="17"/>
    </row>
    <row r="97" ht="15.75" customHeight="1">
      <c r="D97" s="22"/>
      <c r="J97" s="17"/>
    </row>
    <row r="98" ht="15.75" customHeight="1">
      <c r="D98" s="22"/>
      <c r="J98" s="17"/>
    </row>
    <row r="99" ht="15.75" customHeight="1">
      <c r="D99" s="22"/>
      <c r="J99" s="17"/>
    </row>
    <row r="100" ht="15.75" customHeight="1">
      <c r="D100" s="22"/>
      <c r="J100" s="17"/>
    </row>
    <row r="101" ht="15.75" customHeight="1">
      <c r="D101" s="22"/>
      <c r="J101" s="17"/>
    </row>
    <row r="102" ht="15.75" customHeight="1">
      <c r="D102" s="22"/>
      <c r="J102" s="17"/>
    </row>
    <row r="103" ht="15.75" customHeight="1">
      <c r="D103" s="22"/>
      <c r="J103" s="17"/>
    </row>
    <row r="104" ht="15.75" customHeight="1">
      <c r="D104" s="22"/>
      <c r="J104" s="17"/>
    </row>
    <row r="105" ht="15.75" customHeight="1">
      <c r="D105" s="22"/>
      <c r="J105" s="17"/>
    </row>
    <row r="106" ht="15.75" customHeight="1">
      <c r="D106" s="22"/>
      <c r="J106" s="17"/>
    </row>
    <row r="107" ht="15.75" customHeight="1">
      <c r="D107" s="22"/>
      <c r="J107" s="17"/>
    </row>
    <row r="108" ht="15.75" customHeight="1">
      <c r="D108" s="22"/>
      <c r="J108" s="17"/>
    </row>
    <row r="109" ht="15.75" customHeight="1">
      <c r="D109" s="22"/>
      <c r="J109" s="17"/>
    </row>
    <row r="110" ht="15.75" customHeight="1">
      <c r="D110" s="22"/>
      <c r="J110" s="17"/>
    </row>
    <row r="111" ht="15.75" customHeight="1">
      <c r="D111" s="22"/>
      <c r="J111" s="17"/>
    </row>
    <row r="112" ht="15.75" customHeight="1">
      <c r="D112" s="22"/>
      <c r="J112" s="17"/>
    </row>
    <row r="113" ht="15.75" customHeight="1">
      <c r="D113" s="22"/>
      <c r="J113" s="17"/>
    </row>
    <row r="114" ht="15.75" customHeight="1">
      <c r="D114" s="22"/>
      <c r="J114" s="17"/>
    </row>
    <row r="115" ht="15.75" customHeight="1">
      <c r="D115" s="22"/>
      <c r="J115" s="17"/>
    </row>
    <row r="116" ht="15.75" customHeight="1">
      <c r="D116" s="22"/>
      <c r="J116" s="17"/>
    </row>
    <row r="117" ht="15.75" customHeight="1">
      <c r="D117" s="22"/>
      <c r="J117" s="17"/>
    </row>
    <row r="118" ht="15.75" customHeight="1">
      <c r="D118" s="22"/>
      <c r="J118" s="17"/>
    </row>
    <row r="119" ht="15.75" customHeight="1">
      <c r="D119" s="22"/>
      <c r="J119" s="17"/>
    </row>
    <row r="120" ht="15.75" customHeight="1">
      <c r="D120" s="22"/>
      <c r="J120" s="17"/>
    </row>
    <row r="121" ht="15.75" customHeight="1">
      <c r="D121" s="22"/>
      <c r="J121" s="17"/>
    </row>
    <row r="122" ht="15.75" customHeight="1">
      <c r="D122" s="22"/>
      <c r="J122" s="17"/>
    </row>
    <row r="123" ht="15.75" customHeight="1">
      <c r="D123" s="22"/>
      <c r="J123" s="17"/>
    </row>
    <row r="124" ht="15.75" customHeight="1">
      <c r="D124" s="22"/>
      <c r="J124" s="17"/>
    </row>
    <row r="125" ht="15.75" customHeight="1">
      <c r="D125" s="22"/>
      <c r="J125" s="17"/>
    </row>
    <row r="126" ht="15.75" customHeight="1">
      <c r="D126" s="22"/>
      <c r="J126" s="17"/>
    </row>
    <row r="127" ht="15.75" customHeight="1">
      <c r="D127" s="22"/>
      <c r="J127" s="17"/>
    </row>
    <row r="128" ht="15.75" customHeight="1">
      <c r="D128" s="22"/>
      <c r="J128" s="17"/>
    </row>
    <row r="129" ht="15.75" customHeight="1">
      <c r="D129" s="22"/>
      <c r="J129" s="17"/>
    </row>
    <row r="130" ht="15.75" customHeight="1">
      <c r="D130" s="22"/>
      <c r="J130" s="17"/>
    </row>
    <row r="131" ht="15.75" customHeight="1">
      <c r="D131" s="22"/>
      <c r="J131" s="17"/>
    </row>
    <row r="132" ht="15.75" customHeight="1">
      <c r="D132" s="22"/>
      <c r="J132" s="17"/>
    </row>
    <row r="133" ht="15.75" customHeight="1">
      <c r="D133" s="22"/>
      <c r="J133" s="17"/>
    </row>
    <row r="134" ht="15.75" customHeight="1">
      <c r="D134" s="22"/>
      <c r="J134" s="17"/>
    </row>
    <row r="135" ht="15.75" customHeight="1">
      <c r="D135" s="22"/>
      <c r="J135" s="17"/>
    </row>
    <row r="136" ht="15.75" customHeight="1">
      <c r="D136" s="22"/>
      <c r="J136" s="17"/>
    </row>
    <row r="137" ht="15.75" customHeight="1">
      <c r="D137" s="22"/>
      <c r="J137" s="17"/>
    </row>
    <row r="138" ht="15.75" customHeight="1">
      <c r="D138" s="22"/>
      <c r="J138" s="17"/>
    </row>
    <row r="139" ht="15.75" customHeight="1">
      <c r="D139" s="22"/>
      <c r="J139" s="17"/>
    </row>
    <row r="140" ht="15.75" customHeight="1">
      <c r="D140" s="22"/>
      <c r="J140" s="17"/>
    </row>
    <row r="141" ht="15.75" customHeight="1">
      <c r="D141" s="22"/>
      <c r="J141" s="17"/>
    </row>
    <row r="142" ht="15.75" customHeight="1">
      <c r="D142" s="22"/>
      <c r="J142" s="17"/>
    </row>
    <row r="143" ht="15.75" customHeight="1">
      <c r="D143" s="22"/>
      <c r="J143" s="17"/>
    </row>
    <row r="144" ht="15.75" customHeight="1">
      <c r="D144" s="22"/>
      <c r="J144" s="17"/>
    </row>
    <row r="145" ht="15.75" customHeight="1">
      <c r="D145" s="22"/>
      <c r="J145" s="17"/>
    </row>
    <row r="146" ht="15.75" customHeight="1">
      <c r="D146" s="22"/>
      <c r="J146" s="17"/>
    </row>
    <row r="147" ht="15.75" customHeight="1">
      <c r="D147" s="22"/>
      <c r="J147" s="17"/>
    </row>
    <row r="148" ht="15.75" customHeight="1">
      <c r="D148" s="22"/>
      <c r="J148" s="17"/>
    </row>
    <row r="149" ht="15.75" customHeight="1">
      <c r="D149" s="22"/>
      <c r="J149" s="17"/>
    </row>
    <row r="150" ht="15.75" customHeight="1">
      <c r="D150" s="22"/>
      <c r="J150" s="17"/>
    </row>
    <row r="151" ht="15.75" customHeight="1">
      <c r="D151" s="22"/>
      <c r="J151" s="17"/>
    </row>
    <row r="152" ht="15.75" customHeight="1">
      <c r="D152" s="22"/>
      <c r="J152" s="17"/>
    </row>
    <row r="153" ht="15.75" customHeight="1">
      <c r="D153" s="22"/>
      <c r="J153" s="17"/>
    </row>
    <row r="154" ht="15.75" customHeight="1">
      <c r="D154" s="22"/>
      <c r="J154" s="17"/>
    </row>
    <row r="155" ht="15.75" customHeight="1">
      <c r="D155" s="22"/>
      <c r="J155" s="17"/>
    </row>
    <row r="156" ht="15.75" customHeight="1">
      <c r="D156" s="22"/>
      <c r="J156" s="17"/>
    </row>
    <row r="157" ht="15.75" customHeight="1">
      <c r="D157" s="22"/>
      <c r="J157" s="17"/>
    </row>
    <row r="158" ht="15.75" customHeight="1">
      <c r="D158" s="22"/>
      <c r="J158" s="17"/>
    </row>
    <row r="159" ht="15.75" customHeight="1">
      <c r="D159" s="22"/>
      <c r="J159" s="17"/>
    </row>
    <row r="160" ht="15.75" customHeight="1">
      <c r="D160" s="22"/>
      <c r="J160" s="17"/>
    </row>
    <row r="161" ht="15.75" customHeight="1">
      <c r="D161" s="22"/>
      <c r="J161" s="17"/>
    </row>
    <row r="162" ht="15.75" customHeight="1">
      <c r="D162" s="22"/>
      <c r="J162" s="17"/>
    </row>
    <row r="163" ht="15.75" customHeight="1">
      <c r="D163" s="22"/>
      <c r="J163" s="17"/>
    </row>
    <row r="164" ht="15.75" customHeight="1">
      <c r="D164" s="22"/>
      <c r="J164" s="17"/>
    </row>
    <row r="165" ht="15.75" customHeight="1">
      <c r="D165" s="22"/>
      <c r="J165" s="17"/>
    </row>
    <row r="166" ht="15.75" customHeight="1">
      <c r="D166" s="22"/>
      <c r="J166" s="17"/>
    </row>
    <row r="167" ht="15.75" customHeight="1">
      <c r="D167" s="22"/>
      <c r="J167" s="17"/>
    </row>
    <row r="168" ht="15.75" customHeight="1">
      <c r="D168" s="22"/>
      <c r="J168" s="17"/>
    </row>
    <row r="169" ht="15.75" customHeight="1">
      <c r="D169" s="22"/>
      <c r="J169" s="17"/>
    </row>
    <row r="170" ht="15.75" customHeight="1">
      <c r="D170" s="22"/>
      <c r="J170" s="17"/>
    </row>
    <row r="171" ht="15.75" customHeight="1">
      <c r="D171" s="22"/>
      <c r="J171" s="17"/>
    </row>
    <row r="172" ht="15.75" customHeight="1">
      <c r="D172" s="22"/>
      <c r="J172" s="17"/>
    </row>
    <row r="173" ht="15.75" customHeight="1">
      <c r="D173" s="22"/>
      <c r="J173" s="17"/>
    </row>
    <row r="174" ht="15.75" customHeight="1">
      <c r="D174" s="22"/>
      <c r="J174" s="17"/>
    </row>
    <row r="175" ht="15.75" customHeight="1">
      <c r="D175" s="22"/>
      <c r="J175" s="17"/>
    </row>
    <row r="176" ht="15.75" customHeight="1">
      <c r="D176" s="22"/>
      <c r="J176" s="17"/>
    </row>
    <row r="177" ht="15.75" customHeight="1">
      <c r="D177" s="22"/>
      <c r="J177" s="17"/>
    </row>
    <row r="178" ht="15.75" customHeight="1">
      <c r="D178" s="22"/>
      <c r="J178" s="17"/>
    </row>
    <row r="179" ht="15.75" customHeight="1">
      <c r="D179" s="22"/>
      <c r="J179" s="17"/>
    </row>
    <row r="180" ht="15.75" customHeight="1">
      <c r="D180" s="22"/>
      <c r="J180" s="17"/>
    </row>
    <row r="181" ht="15.75" customHeight="1">
      <c r="D181" s="22"/>
      <c r="J181" s="17"/>
    </row>
    <row r="182" ht="15.75" customHeight="1">
      <c r="D182" s="22"/>
      <c r="J182" s="17"/>
    </row>
    <row r="183" ht="15.75" customHeight="1">
      <c r="D183" s="22"/>
      <c r="J183" s="17"/>
    </row>
    <row r="184" ht="15.75" customHeight="1">
      <c r="D184" s="22"/>
      <c r="J184" s="17"/>
    </row>
    <row r="185" ht="15.75" customHeight="1">
      <c r="D185" s="22"/>
      <c r="J185" s="17"/>
    </row>
    <row r="186" ht="15.75" customHeight="1">
      <c r="D186" s="22"/>
      <c r="J186" s="17"/>
    </row>
    <row r="187" ht="15.75" customHeight="1">
      <c r="D187" s="22"/>
      <c r="J187" s="17"/>
    </row>
    <row r="188" ht="15.75" customHeight="1">
      <c r="D188" s="22"/>
      <c r="J188" s="17"/>
    </row>
    <row r="189" ht="15.75" customHeight="1">
      <c r="D189" s="22"/>
      <c r="J189" s="17"/>
    </row>
    <row r="190" ht="15.75" customHeight="1">
      <c r="D190" s="22"/>
      <c r="J190" s="17"/>
    </row>
    <row r="191" ht="15.75" customHeight="1">
      <c r="D191" s="22"/>
      <c r="J191" s="17"/>
    </row>
    <row r="192" ht="15.75" customHeight="1">
      <c r="D192" s="22"/>
      <c r="J192" s="17"/>
    </row>
    <row r="193" ht="15.75" customHeight="1">
      <c r="D193" s="22"/>
      <c r="J193" s="17"/>
    </row>
    <row r="194" ht="15.75" customHeight="1">
      <c r="D194" s="22"/>
      <c r="J194" s="17"/>
    </row>
    <row r="195" ht="15.75" customHeight="1">
      <c r="D195" s="22"/>
      <c r="J195" s="17"/>
    </row>
    <row r="196" ht="15.75" customHeight="1">
      <c r="D196" s="22"/>
      <c r="J196" s="17"/>
    </row>
    <row r="197" ht="15.75" customHeight="1">
      <c r="D197" s="22"/>
      <c r="J197" s="17"/>
    </row>
    <row r="198" ht="15.75" customHeight="1">
      <c r="D198" s="22"/>
      <c r="J198" s="17"/>
    </row>
    <row r="199" ht="15.75" customHeight="1">
      <c r="D199" s="22"/>
      <c r="J199" s="17"/>
    </row>
    <row r="200" ht="15.75" customHeight="1">
      <c r="D200" s="22"/>
      <c r="J200" s="17"/>
    </row>
    <row r="201" ht="15.75" customHeight="1">
      <c r="D201" s="22"/>
      <c r="J201" s="17"/>
    </row>
    <row r="202" ht="15.75" customHeight="1">
      <c r="D202" s="22"/>
      <c r="J202" s="17"/>
    </row>
    <row r="203" ht="15.75" customHeight="1">
      <c r="D203" s="22"/>
      <c r="J203" s="17"/>
    </row>
    <row r="204" ht="15.75" customHeight="1">
      <c r="D204" s="22"/>
      <c r="J204" s="17"/>
    </row>
    <row r="205" ht="15.75" customHeight="1">
      <c r="D205" s="22"/>
      <c r="J205" s="17"/>
    </row>
    <row r="206" ht="15.75" customHeight="1">
      <c r="D206" s="22"/>
      <c r="J206" s="17"/>
    </row>
    <row r="207" ht="15.75" customHeight="1">
      <c r="D207" s="22"/>
      <c r="J207" s="17"/>
    </row>
    <row r="208" ht="15.75" customHeight="1">
      <c r="D208" s="22"/>
      <c r="J208" s="17"/>
    </row>
    <row r="209" ht="15.75" customHeight="1">
      <c r="D209" s="22"/>
      <c r="J209" s="17"/>
    </row>
    <row r="210" ht="15.75" customHeight="1">
      <c r="D210" s="22"/>
      <c r="J210" s="17"/>
    </row>
    <row r="211" ht="15.75" customHeight="1">
      <c r="D211" s="22"/>
      <c r="J211" s="17"/>
    </row>
    <row r="212" ht="15.75" customHeight="1">
      <c r="D212" s="22"/>
      <c r="J212" s="17"/>
    </row>
    <row r="213" ht="15.75" customHeight="1">
      <c r="D213" s="22"/>
      <c r="J213" s="17"/>
    </row>
    <row r="214" ht="15.75" customHeight="1">
      <c r="D214" s="22"/>
      <c r="J214" s="17"/>
    </row>
    <row r="215" ht="15.75" customHeight="1">
      <c r="D215" s="22"/>
      <c r="J215" s="17"/>
    </row>
    <row r="216" ht="15.75" customHeight="1">
      <c r="D216" s="22"/>
      <c r="J216" s="17"/>
    </row>
    <row r="217" ht="15.75" customHeight="1">
      <c r="D217" s="22"/>
      <c r="J217" s="17"/>
    </row>
    <row r="218" ht="15.75" customHeight="1">
      <c r="D218" s="22"/>
      <c r="J218" s="17"/>
    </row>
    <row r="219" ht="15.75" customHeight="1">
      <c r="D219" s="22"/>
      <c r="J219" s="17"/>
    </row>
    <row r="220" ht="15.75" customHeight="1">
      <c r="D220" s="22"/>
      <c r="J220" s="17"/>
    </row>
    <row r="221" ht="15.75" customHeight="1">
      <c r="D221" s="22"/>
      <c r="J221" s="17"/>
    </row>
    <row r="222" ht="15.75" customHeight="1">
      <c r="D222" s="22"/>
      <c r="J222" s="17"/>
    </row>
    <row r="223" ht="15.75" customHeight="1">
      <c r="D223" s="22"/>
      <c r="J223" s="17"/>
    </row>
    <row r="224" ht="15.75" customHeight="1">
      <c r="D224" s="22"/>
      <c r="J224" s="17"/>
    </row>
    <row r="225" ht="15.75" customHeight="1">
      <c r="D225" s="22"/>
      <c r="J225" s="17"/>
    </row>
    <row r="226" ht="15.75" customHeight="1">
      <c r="D226" s="22"/>
      <c r="J226" s="17"/>
    </row>
    <row r="227" ht="15.75" customHeight="1">
      <c r="D227" s="22"/>
      <c r="J227" s="17"/>
    </row>
    <row r="228" ht="15.75" customHeight="1">
      <c r="D228" s="22"/>
      <c r="J228" s="17"/>
    </row>
    <row r="229" ht="15.75" customHeight="1">
      <c r="D229" s="22"/>
      <c r="J229" s="17"/>
    </row>
    <row r="230" ht="15.75" customHeight="1">
      <c r="D230" s="22"/>
      <c r="J230" s="17"/>
    </row>
    <row r="231" ht="15.75" customHeight="1">
      <c r="D231" s="22"/>
      <c r="J231" s="17"/>
    </row>
    <row r="232" ht="15.75" customHeight="1">
      <c r="D232" s="22"/>
      <c r="J232" s="17"/>
    </row>
    <row r="233" ht="15.75" customHeight="1">
      <c r="D233" s="22"/>
      <c r="J233" s="17"/>
    </row>
    <row r="234" ht="15.75" customHeight="1">
      <c r="D234" s="22"/>
      <c r="J234" s="17"/>
    </row>
    <row r="235" ht="15.75" customHeight="1">
      <c r="D235" s="22"/>
      <c r="J235" s="17"/>
    </row>
    <row r="236" ht="15.75" customHeight="1">
      <c r="D236" s="22"/>
      <c r="J236" s="17"/>
    </row>
    <row r="237" ht="15.75" customHeight="1">
      <c r="D237" s="22"/>
      <c r="J237" s="17"/>
    </row>
    <row r="238" ht="15.75" customHeight="1">
      <c r="D238" s="22"/>
      <c r="J238" s="17"/>
    </row>
    <row r="239" ht="15.75" customHeight="1">
      <c r="D239" s="22"/>
      <c r="J239" s="17"/>
    </row>
    <row r="240" ht="15.75" customHeight="1">
      <c r="D240" s="22"/>
      <c r="J240" s="17"/>
    </row>
    <row r="241" ht="15.75" customHeight="1">
      <c r="D241" s="22"/>
      <c r="J241" s="17"/>
    </row>
    <row r="242" ht="15.75" customHeight="1">
      <c r="D242" s="22"/>
      <c r="J242" s="17"/>
    </row>
    <row r="243" ht="15.75" customHeight="1">
      <c r="D243" s="22"/>
      <c r="J243" s="17"/>
    </row>
    <row r="244" ht="15.75" customHeight="1">
      <c r="D244" s="22"/>
      <c r="J244" s="17"/>
    </row>
    <row r="245" ht="15.75" customHeight="1">
      <c r="D245" s="22"/>
      <c r="J245" s="17"/>
    </row>
    <row r="246" ht="15.75" customHeight="1">
      <c r="D246" s="22"/>
      <c r="J246" s="17"/>
    </row>
    <row r="247" ht="15.75" customHeight="1">
      <c r="D247" s="22"/>
      <c r="J247" s="17"/>
    </row>
    <row r="248" ht="15.75" customHeight="1">
      <c r="D248" s="22"/>
      <c r="J248" s="17"/>
    </row>
    <row r="249" ht="15.75" customHeight="1">
      <c r="D249" s="22"/>
      <c r="J249" s="17"/>
    </row>
    <row r="250" ht="15.75" customHeight="1">
      <c r="D250" s="22"/>
      <c r="J250" s="17"/>
    </row>
    <row r="251" ht="15.75" customHeight="1">
      <c r="D251" s="22"/>
      <c r="J251" s="17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1">
    <cfRule type="notContainsBlanks" dxfId="4" priority="1">
      <formula>LEN(TRIM(O1))&gt;0</formula>
    </cfRule>
  </conditionalFormatting>
  <dataValidations>
    <dataValidation type="custom" allowBlank="1" showDropDown="1" sqref="G2:H8 J2:M8 K10 D2:D51">
      <formula1>AND(ISNUMBER(D2),(NOT(OR(NOT(ISERROR(DATEVALUE(D2))), AND(ISNUMBER(D2), LEFT(CELL("format", D2))="D")))))</formula1>
    </dataValidation>
  </dataValidations>
  <drawing r:id="rId1"/>
  <tableParts count="2">
    <tablePart r:id="rId4"/>
    <tablePart r:id="rId5"/>
  </tableParts>
</worksheet>
</file>